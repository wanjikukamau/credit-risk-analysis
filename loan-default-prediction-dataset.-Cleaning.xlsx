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k\Documents\"/>
    </mc:Choice>
  </mc:AlternateContent>
  <xr:revisionPtr revIDLastSave="0" documentId="13_ncr:1_{5E3E445A-E8FA-47BD-A2FF-047C589D3083}" xr6:coauthVersionLast="47" xr6:coauthVersionMax="47" xr10:uidLastSave="{00000000-0000-0000-0000-000000000000}"/>
  <bookViews>
    <workbookView xWindow="9360" yWindow="1320" windowWidth="12750" windowHeight="13335" xr2:uid="{752D51F2-BCAF-4C8B-988D-B101C042117C}"/>
  </bookViews>
  <sheets>
    <sheet name="Pivot1" sheetId="3" r:id="rId1"/>
    <sheet name="Pivot2" sheetId="4" r:id="rId2"/>
    <sheet name="loan-default-prediction-dataset" sheetId="1" r:id="rId3"/>
    <sheet name="Sheet1" sheetId="2" r:id="rId4"/>
  </sheets>
  <definedNames>
    <definedName name="_xlnm._FilterDatabase" localSheetId="2" hidden="1">'loan-default-prediction-dataset'!$A$1:$AB$16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K5" i="2" s="1"/>
  <c r="AA2" i="1"/>
  <c r="AA19" i="1"/>
  <c r="AA20" i="1" s="1"/>
  <c r="AA3" i="1"/>
  <c r="AB3" i="1" s="1"/>
  <c r="AA4" i="1"/>
  <c r="AB4" i="1" s="1"/>
  <c r="AA5" i="1"/>
  <c r="AA6" i="1"/>
  <c r="AB6" i="1" s="1"/>
  <c r="AA7" i="1"/>
  <c r="AB7" i="1" s="1"/>
  <c r="AA8" i="1"/>
  <c r="AB8" i="1" s="1"/>
  <c r="AA9" i="1"/>
  <c r="AB9" i="1" s="1"/>
  <c r="AA10" i="1"/>
  <c r="G2" i="2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18" i="1"/>
  <c r="AB5" i="1"/>
  <c r="AB10" i="1" l="1"/>
  <c r="D2" i="2"/>
  <c r="AB2" i="1"/>
</calcChain>
</file>

<file path=xl/sharedStrings.xml><?xml version="1.0" encoding="utf-8"?>
<sst xmlns="http://schemas.openxmlformats.org/spreadsheetml/2006/main" count="219" uniqueCount="160">
  <si>
    <t>borrower_address_city</t>
  </si>
  <si>
    <t>borrower_address_state</t>
  </si>
  <si>
    <t>borrower_address_postal_code</t>
  </si>
  <si>
    <t>borrower_address_country</t>
  </si>
  <si>
    <t>loan_amount</t>
  </si>
  <si>
    <t>loan_term_months</t>
  </si>
  <si>
    <t>loan_interest_rate</t>
  </si>
  <si>
    <t>LN000001</t>
  </si>
  <si>
    <t>BR10001</t>
  </si>
  <si>
    <t>Jacob Thompson</t>
  </si>
  <si>
    <t>male</t>
  </si>
  <si>
    <t>employed</t>
  </si>
  <si>
    <t>1429 Maple Ave</t>
  </si>
  <si>
    <t>Houston</t>
  </si>
  <si>
    <t>TX</t>
  </si>
  <si>
    <t>USA</t>
  </si>
  <si>
    <t>home</t>
  </si>
  <si>
    <t>active</t>
  </si>
  <si>
    <t>LN000002</t>
  </si>
  <si>
    <t>BR10002</t>
  </si>
  <si>
    <t>Priya Iyer</t>
  </si>
  <si>
    <t>female</t>
  </si>
  <si>
    <t>B-17 Saraswati Rd</t>
  </si>
  <si>
    <t>Mumbai</t>
  </si>
  <si>
    <t>MH</t>
  </si>
  <si>
    <t>India</t>
  </si>
  <si>
    <t>personal</t>
  </si>
  <si>
    <t>closed</t>
  </si>
  <si>
    <t>LN000003</t>
  </si>
  <si>
    <t>BR10003</t>
  </si>
  <si>
    <t>Lucas Brown</t>
  </si>
  <si>
    <t>retired</t>
  </si>
  <si>
    <t>278 Pine St</t>
  </si>
  <si>
    <t>Portland</t>
  </si>
  <si>
    <t>OR</t>
  </si>
  <si>
    <t>auto</t>
  </si>
  <si>
    <t>delinquent</t>
  </si>
  <si>
    <t>LN000004</t>
  </si>
  <si>
    <t>BR10004</t>
  </si>
  <si>
    <t>Emily Zhang</t>
  </si>
  <si>
    <t>self-employed</t>
  </si>
  <si>
    <t>48 Yonge St</t>
  </si>
  <si>
    <t>Toronto</t>
  </si>
  <si>
    <t>ON</t>
  </si>
  <si>
    <t>M5E1X8</t>
  </si>
  <si>
    <t>Canada</t>
  </si>
  <si>
    <t>business</t>
  </si>
  <si>
    <t>LN000005</t>
  </si>
  <si>
    <t>BR10005</t>
  </si>
  <si>
    <t>Akash Sharma</t>
  </si>
  <si>
    <t>student</t>
  </si>
  <si>
    <t>3/48 Sector 10</t>
  </si>
  <si>
    <t>Delhi</t>
  </si>
  <si>
    <t>DL</t>
  </si>
  <si>
    <t>education</t>
  </si>
  <si>
    <t>LN000006</t>
  </si>
  <si>
    <t>BR10006</t>
  </si>
  <si>
    <t>Anna Kowalski</t>
  </si>
  <si>
    <t>15 Nowa St</t>
  </si>
  <si>
    <t>Warsaw</t>
  </si>
  <si>
    <t>Maz</t>
  </si>
  <si>
    <t>00-950</t>
  </si>
  <si>
    <t>Poland</t>
  </si>
  <si>
    <t>LN000007</t>
  </si>
  <si>
    <t>BR10007</t>
  </si>
  <si>
    <t>Mohammed Al-Sayed</t>
  </si>
  <si>
    <t>32 King Faisal Rd</t>
  </si>
  <si>
    <t>Riyadh</t>
  </si>
  <si>
    <t>Saudi Arabia</t>
  </si>
  <si>
    <t>LN000008</t>
  </si>
  <si>
    <t>BR10008</t>
  </si>
  <si>
    <t>Linda Miller</t>
  </si>
  <si>
    <t>433 Oak Street</t>
  </si>
  <si>
    <t>Cleveland</t>
  </si>
  <si>
    <t>OH</t>
  </si>
  <si>
    <t>LN000009</t>
  </si>
  <si>
    <t>BR10009</t>
  </si>
  <si>
    <t>Sarah Lee</t>
  </si>
  <si>
    <t>12 Mornington Rd</t>
  </si>
  <si>
    <t>London</t>
  </si>
  <si>
    <t>LDN</t>
  </si>
  <si>
    <t>NW1 2JE</t>
  </si>
  <si>
    <t>UK</t>
  </si>
  <si>
    <t>LN000010</t>
  </si>
  <si>
    <t>BR10010</t>
  </si>
  <si>
    <t>John Murphy</t>
  </si>
  <si>
    <t>78 Highfield Ave</t>
  </si>
  <si>
    <t>Dublin</t>
  </si>
  <si>
    <t>DN</t>
  </si>
  <si>
    <t>D08X7F8</t>
  </si>
  <si>
    <t>Ireland</t>
  </si>
  <si>
    <t>LN000011</t>
  </si>
  <si>
    <t>BR10011</t>
  </si>
  <si>
    <t>Olga Petrova</t>
  </si>
  <si>
    <t>7 Tverskaya St</t>
  </si>
  <si>
    <t>Moscow</t>
  </si>
  <si>
    <t>MOW</t>
  </si>
  <si>
    <t>Russia</t>
  </si>
  <si>
    <t>LN000012</t>
  </si>
  <si>
    <t>BR10012</t>
  </si>
  <si>
    <t>Carlos Fernandez</t>
  </si>
  <si>
    <t>Calle 22 Sur</t>
  </si>
  <si>
    <t>Mexico City</t>
  </si>
  <si>
    <t>CDMX</t>
  </si>
  <si>
    <t>Mexico</t>
  </si>
  <si>
    <t>LN000013</t>
  </si>
  <si>
    <t>BR10013</t>
  </si>
  <si>
    <t>Chloe Martin</t>
  </si>
  <si>
    <t>31 Rue Lafayette</t>
  </si>
  <si>
    <t>Paris</t>
  </si>
  <si>
    <t>IDF</t>
  </si>
  <si>
    <t>France</t>
  </si>
  <si>
    <t>LN000014</t>
  </si>
  <si>
    <t>BR10014</t>
  </si>
  <si>
    <t>Wang Li</t>
  </si>
  <si>
    <t>88 Nanjing Rd</t>
  </si>
  <si>
    <t>Shanghai</t>
  </si>
  <si>
    <t>SH</t>
  </si>
  <si>
    <t>China</t>
  </si>
  <si>
    <t>LN000015</t>
  </si>
  <si>
    <t>BR10015</t>
  </si>
  <si>
    <t>Maria Silva</t>
  </si>
  <si>
    <t>Rua das Flores 210</t>
  </si>
  <si>
    <t>Sao Paulo</t>
  </si>
  <si>
    <t>SP</t>
  </si>
  <si>
    <t>01303-000</t>
  </si>
  <si>
    <t>Brazil</t>
  </si>
  <si>
    <t>Repayment Status</t>
  </si>
  <si>
    <t>Risk Level</t>
  </si>
  <si>
    <t>Number of Non-Performing Loans</t>
  </si>
  <si>
    <t>NPL Ratio</t>
  </si>
  <si>
    <t>Total Loans</t>
  </si>
  <si>
    <t>Performing Loans</t>
  </si>
  <si>
    <t>Non-Performing Loans</t>
  </si>
  <si>
    <t>Delinquent Loans</t>
  </si>
  <si>
    <t>Behavioural Risk Exposure</t>
  </si>
  <si>
    <t>Borrower Name</t>
  </si>
  <si>
    <t>Borrower_id</t>
  </si>
  <si>
    <t>Loan_id</t>
  </si>
  <si>
    <t>Borrower_dob</t>
  </si>
  <si>
    <t>Borrower_gender</t>
  </si>
  <si>
    <t>Borrower_Employment_Status</t>
  </si>
  <si>
    <t>Borrower_Annual_Income</t>
  </si>
  <si>
    <t>Borrower_Credit_score</t>
  </si>
  <si>
    <t>Borrower_address_street</t>
  </si>
  <si>
    <t>Loan_last_payment_date</t>
  </si>
  <si>
    <t>Loan_number_of_payments_missed</t>
  </si>
  <si>
    <t>Loan_total_payments_made</t>
  </si>
  <si>
    <t>Loan_default_date</t>
  </si>
  <si>
    <t>Loan_default_flag</t>
  </si>
  <si>
    <t>Loan_status</t>
  </si>
  <si>
    <t>Loan_purpose</t>
  </si>
  <si>
    <t>Loan_maturity_date</t>
  </si>
  <si>
    <t>Loan_issue_date</t>
  </si>
  <si>
    <t>Row Labels</t>
  </si>
  <si>
    <t>NP</t>
  </si>
  <si>
    <t>Performing</t>
  </si>
  <si>
    <t>Grand Total</t>
  </si>
  <si>
    <t>Count of Repayment Status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</si>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</sst>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6" fillId="0" borderId="0" xfId="0" applyFont="1"/>
    <xf numFmtId="9" fontId="0" fillId="0" borderId="0" xfId="1" applyFont="1"/>
    <xf numFmtId="49" fontId="16" fillId="0" borderId="0" xfId="0" applyNumberFormat="1" applyFont="1"/>
    <xf numFmtId="49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1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  <xf numFmtId="170" fontId="16" fillId="0" borderId="0" xfId="0" applyNumberFormat="1" applyFon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[loan-default-prediction-dataset.-Cleaning.xlsx]Pivot1!PivotTable1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</a:t>
            </a:r>
            <a:r>
              <a:rPr lang="en-US" baseline="0"/>
              <a:t> Portfolio Risk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Pivot1!$A$4:$A$6</c:f>
              <c:strCache>
                <c:ptCount val="2"/>
                <c:pt idx="0">
                  <c:v>NP</c:v>
                </c:pt>
                <c:pt idx="1">
                  <c:v>Performing</c:v>
                </c:pt>
              </c:strCache>
            </c:strRef>
          </c:cat>
          <c:val>
            <c:numRef>
              <c:f>Pivot1!$B$4:$B$6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8-420E-987C-27057AF9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275120"/>
        <c:axId val="1577275600"/>
      </c:barChart>
      <c:catAx>
        <c:axId val="15772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77275600"/>
        <c:crosses val="autoZero"/>
        <c:auto val="1"/>
        <c:lblAlgn val="ctr"/>
        <c:lblOffset val="100"/>
        <c:noMultiLvlLbl val="0"/>
      </c:catAx>
      <c:valAx>
        <c:axId val="15772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772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7</xdr:row>
      <xdr:rowOff>90487</xdr:rowOff>
    </xdr:from>
    <xdr:to>
      <xdr:col>5</xdr:col>
      <xdr:colOff>95256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8EBB2-66D1-EAA4-47B8-092407124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k" refreshedDate="46076.273137731485" createdVersion="8" refreshedVersion="8" minRefreshableVersion="3" recordCount="15" xr:uid="{D221E0BC-AB65-4CB4-AEF2-914D41832B55}">
  <cacheSource type="worksheet">
    <worksheetSource ref="E1:AB16" sheet="loan-default-prediction-dataset"/>
  </cacheSource>
  <cacheFields count="24">
    <cacheField name="Borrower_dob" numFmtId="14">
      <sharedItems containsSemiMixedTypes="0" containsNonDate="0" containsDate="1" containsString="0" minDate="1954-05-11T00:00:00" maxDate="1999-12-19T00:00:00"/>
    </cacheField>
    <cacheField name="Borrower_gender" numFmtId="49">
      <sharedItems/>
    </cacheField>
    <cacheField name="Borrower_Employment_Status" numFmtId="49">
      <sharedItems/>
    </cacheField>
    <cacheField name="Borrower_Annual_Income" numFmtId="170">
      <sharedItems containsSemiMixedTypes="0" containsString="0" containsNumber="1" containsInteger="1" minValue="0" maxValue="210000"/>
    </cacheField>
    <cacheField name="Borrower_Credit_score" numFmtId="49">
      <sharedItems containsSemiMixedTypes="0" containsString="0" containsNumber="1" containsInteger="1" minValue="315" maxValue="812"/>
    </cacheField>
    <cacheField name="Borrower_address_street" numFmtId="49">
      <sharedItems/>
    </cacheField>
    <cacheField name="borrower_address_city" numFmtId="0">
      <sharedItems/>
    </cacheField>
    <cacheField name="borrower_address_state" numFmtId="0">
      <sharedItems/>
    </cacheField>
    <cacheField name="borrower_address_postal_code" numFmtId="49">
      <sharedItems containsMixedTypes="1" containsNumber="1" containsInteger="1" minValue="6760" maxValue="400005"/>
    </cacheField>
    <cacheField name="borrower_address_country" numFmtId="49">
      <sharedItems/>
    </cacheField>
    <cacheField name="loan_amount" numFmtId="1">
      <sharedItems containsSemiMixedTypes="0" containsString="0" containsNumber="1" containsInteger="1" minValue="1800" maxValue="260000"/>
    </cacheField>
    <cacheField name="loan_term_months" numFmtId="1">
      <sharedItems containsSemiMixedTypes="0" containsString="0" containsNumber="1" containsInteger="1" minValue="6" maxValue="240"/>
    </cacheField>
    <cacheField name="loan_interest_rate" numFmtId="2">
      <sharedItems containsSemiMixedTypes="0" containsString="0" containsNumber="1" minValue="3.2" maxValue="28.7"/>
    </cacheField>
    <cacheField name="Loan_issue_date" numFmtId="14">
      <sharedItems containsSemiMixedTypes="0" containsNonDate="0" containsDate="1" containsString="0" minDate="2020-01-19T00:00:00" maxDate="2023-10-12T00:00:00"/>
    </cacheField>
    <cacheField name="Loan_maturity_date" numFmtId="14">
      <sharedItems containsSemiMixedTypes="0" containsNonDate="0" containsDate="1" containsString="0" minDate="2023-07-20T00:00:00" maxDate="2041-06-15T00:00:00"/>
    </cacheField>
    <cacheField name="Loan_purpose" numFmtId="49">
      <sharedItems/>
    </cacheField>
    <cacheField name="Loan_status" numFmtId="49">
      <sharedItems count="3">
        <s v="active"/>
        <s v="closed"/>
        <s v="delinquent"/>
      </sharedItems>
    </cacheField>
    <cacheField name="Loan_default_flag" numFmtId="49">
      <sharedItems/>
    </cacheField>
    <cacheField name="Loan_default_date" numFmtId="0">
      <sharedItems containsNonDate="0" containsString="0" containsBlank="1"/>
    </cacheField>
    <cacheField name="Loan_total_payments_made" numFmtId="2">
      <sharedItems containsSemiMixedTypes="0" containsString="0" containsNumber="1" containsInteger="1" minValue="500" maxValue="137500"/>
    </cacheField>
    <cacheField name="Loan_number_of_payments_missed" numFmtId="2">
      <sharedItems containsSemiMixedTypes="0" containsString="0" containsNumber="1" containsInteger="1" minValue="0" maxValue="3"/>
    </cacheField>
    <cacheField name="Loan_last_payment_date" numFmtId="49">
      <sharedItems containsSemiMixedTypes="0" containsString="0" containsNumber="1" containsInteger="1" minValue="45036" maxValue="45432"/>
    </cacheField>
    <cacheField name="Repayment Status" numFmtId="0">
      <sharedItems count="2">
        <s v="Performing"/>
        <s v="NP"/>
      </sharedItems>
    </cacheField>
    <cacheField name="Risk Level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1987-09-04T00:00:00"/>
    <s v="male"/>
    <s v="employed"/>
    <n v="82000"/>
    <n v="692"/>
    <s v="1429 Maple Ave"/>
    <s v="Houston"/>
    <s v="TX"/>
    <n v="77002"/>
    <s v="USA"/>
    <n v="260000"/>
    <n v="180"/>
    <n v="4.9000000000000004"/>
    <d v="2020-07-20T00:00:00"/>
    <d v="2035-07-20T00:00:00"/>
    <s v="home"/>
    <x v="0"/>
    <b v="0"/>
    <m/>
    <n v="36000"/>
    <n v="0"/>
    <n v="45413"/>
    <x v="0"/>
    <s v="Low Risk"/>
  </r>
  <r>
    <d v="1993-02-12T00:00:00"/>
    <s v="female"/>
    <s v="employed"/>
    <n v="54000"/>
    <n v="776"/>
    <s v="B-17 Saraswati Rd"/>
    <s v="Mumbai"/>
    <s v="MH"/>
    <n v="400005"/>
    <s v="India"/>
    <n v="9500"/>
    <n v="36"/>
    <n v="9.1999999999999993"/>
    <d v="2021-03-15T00:00:00"/>
    <d v="2024-03-15T00:00:00"/>
    <s v="personal"/>
    <x v="1"/>
    <b v="0"/>
    <m/>
    <n v="11850"/>
    <n v="0"/>
    <n v="45366"/>
    <x v="0"/>
    <s v="Low Risk"/>
  </r>
  <r>
    <d v="1961-11-24T00:00:00"/>
    <s v="male"/>
    <s v="retired"/>
    <n v="0"/>
    <n v="441"/>
    <s v="278 Pine St"/>
    <s v="Portland"/>
    <s v="OR"/>
    <n v="97204"/>
    <s v="USA"/>
    <n v="6500"/>
    <n v="12"/>
    <n v="19.5"/>
    <d v="2023-02-10T00:00:00"/>
    <d v="2024-02-10T00:00:00"/>
    <s v="auto"/>
    <x v="2"/>
    <b v="0"/>
    <m/>
    <n v="3200"/>
    <n v="2"/>
    <n v="45261"/>
    <x v="1"/>
    <s v="High Risk"/>
  </r>
  <r>
    <d v="1983-06-20T00:00:00"/>
    <s v="female"/>
    <s v="self-employed"/>
    <n v="124000"/>
    <n v="734"/>
    <s v="48 Yonge St"/>
    <s v="Toronto"/>
    <s v="ON"/>
    <s v="M5E1X8"/>
    <s v="Canada"/>
    <n v="35000"/>
    <n v="60"/>
    <n v="7.3"/>
    <d v="2022-09-01T00:00:00"/>
    <d v="2027-09-01T00:00:00"/>
    <s v="business"/>
    <x v="0"/>
    <b v="0"/>
    <m/>
    <n v="9800"/>
    <n v="0"/>
    <n v="45413"/>
    <x v="0"/>
    <s v="Low Risk"/>
  </r>
  <r>
    <d v="1999-12-18T00:00:00"/>
    <s v="male"/>
    <s v="student"/>
    <n v="0"/>
    <n v="315"/>
    <s v="3/48 Sector 10"/>
    <s v="Delhi"/>
    <s v="DL"/>
    <n v="110081"/>
    <s v="India"/>
    <n v="2300"/>
    <n v="18"/>
    <n v="15.1"/>
    <d v="2022-01-20T00:00:00"/>
    <d v="2023-07-20T00:00:00"/>
    <s v="education"/>
    <x v="2"/>
    <b v="0"/>
    <m/>
    <n v="780"/>
    <n v="3"/>
    <n v="45036"/>
    <x v="1"/>
    <s v="High Risk"/>
  </r>
  <r>
    <d v="1974-03-05T00:00:00"/>
    <s v="female"/>
    <s v="employed"/>
    <n v="67000"/>
    <n v="665"/>
    <s v="15 Nowa St"/>
    <s v="Warsaw"/>
    <s v="Maz"/>
    <s v="00-950"/>
    <s v="Poland"/>
    <n v="12000"/>
    <n v="24"/>
    <n v="6.8"/>
    <d v="2023-04-23T00:00:00"/>
    <d v="2025-04-23T00:00:00"/>
    <s v="auto"/>
    <x v="0"/>
    <b v="0"/>
    <m/>
    <n v="3400"/>
    <n v="0"/>
    <n v="45432"/>
    <x v="0"/>
    <s v="Low Risk"/>
  </r>
  <r>
    <d v="1980-08-17T00:00:00"/>
    <s v="male"/>
    <s v="self-employed"/>
    <n v="148000"/>
    <n v="701"/>
    <s v="32 King Faisal Rd"/>
    <s v="Riyadh"/>
    <s v="Riyadh"/>
    <n v="11564"/>
    <s v="Saudi Arabia"/>
    <n v="87000"/>
    <n v="48"/>
    <n v="8.5"/>
    <d v="2022-10-10T00:00:00"/>
    <d v="2026-10-10T00:00:00"/>
    <s v="business"/>
    <x v="0"/>
    <b v="0"/>
    <m/>
    <n v="17700"/>
    <n v="0"/>
    <n v="45413"/>
    <x v="0"/>
    <s v="Low Risk"/>
  </r>
  <r>
    <d v="1954-05-11T00:00:00"/>
    <s v="female"/>
    <s v="retired"/>
    <n v="12000"/>
    <n v="362"/>
    <s v="433 Oak Street"/>
    <s v="Cleveland"/>
    <s v="OH"/>
    <n v="44101"/>
    <s v="USA"/>
    <n v="2200"/>
    <n v="12"/>
    <n v="22.3"/>
    <d v="2023-06-21T00:00:00"/>
    <d v="2024-06-21T00:00:00"/>
    <s v="personal"/>
    <x v="0"/>
    <b v="0"/>
    <m/>
    <n v="1200"/>
    <n v="1"/>
    <n v="45366"/>
    <x v="0"/>
    <s v="High Risk"/>
  </r>
  <r>
    <d v="1997-10-02T00:00:00"/>
    <s v="female"/>
    <s v="student"/>
    <n v="0"/>
    <n v="326"/>
    <s v="12 Mornington Rd"/>
    <s v="London"/>
    <s v="LDN"/>
    <s v="NW1 2JE"/>
    <s v="UK"/>
    <n v="1800"/>
    <n v="18"/>
    <n v="18.899999999999999"/>
    <d v="2022-09-12T00:00:00"/>
    <d v="2024-03-12T00:00:00"/>
    <s v="education"/>
    <x v="0"/>
    <b v="0"/>
    <m/>
    <n v="920"/>
    <n v="1"/>
    <n v="45383"/>
    <x v="0"/>
    <s v="High Risk"/>
  </r>
  <r>
    <d v="1979-05-25T00:00:00"/>
    <s v="male"/>
    <s v="employed"/>
    <n v="93000"/>
    <n v="812"/>
    <s v="78 Highfield Ave"/>
    <s v="Dublin"/>
    <s v="DN"/>
    <s v="D08X7F8"/>
    <s v="Ireland"/>
    <n v="245000"/>
    <n v="240"/>
    <n v="3.2"/>
    <d v="2021-06-14T00:00:00"/>
    <d v="2041-06-14T00:00:00"/>
    <s v="home"/>
    <x v="0"/>
    <b v="0"/>
    <m/>
    <n v="41000"/>
    <n v="0"/>
    <n v="45413"/>
    <x v="0"/>
    <s v="Low Risk"/>
  </r>
  <r>
    <d v="1985-03-16T00:00:00"/>
    <s v="female"/>
    <s v="self-employed"/>
    <n v="210000"/>
    <n v="673"/>
    <s v="7 Tverskaya St"/>
    <s v="Moscow"/>
    <s v="MOW"/>
    <n v="125009"/>
    <s v="Russia"/>
    <n v="120000"/>
    <n v="48"/>
    <n v="11.2"/>
    <d v="2020-01-19T00:00:00"/>
    <d v="2024-01-19T00:00:00"/>
    <s v="business"/>
    <x v="1"/>
    <b v="0"/>
    <m/>
    <n v="137500"/>
    <n v="0"/>
    <n v="45310"/>
    <x v="0"/>
    <s v="Low Risk"/>
  </r>
  <r>
    <d v="1968-02-28T00:00:00"/>
    <s v="male"/>
    <s v="retired"/>
    <n v="8000"/>
    <n v="388"/>
    <s v="Calle 22 Sur"/>
    <s v="Mexico City"/>
    <s v="CDMX"/>
    <n v="6760"/>
    <s v="Mexico"/>
    <n v="3500"/>
    <n v="6"/>
    <n v="28.7"/>
    <d v="2023-10-11T00:00:00"/>
    <d v="2024-04-11T00:00:00"/>
    <s v="personal"/>
    <x v="2"/>
    <b v="0"/>
    <m/>
    <n v="500"/>
    <n v="2"/>
    <n v="45337"/>
    <x v="1"/>
    <s v="High Risk"/>
  </r>
  <r>
    <d v="1990-03-09T00:00:00"/>
    <s v="female"/>
    <s v="employed"/>
    <n v="54000"/>
    <n v="657"/>
    <s v="31 Rue Lafayette"/>
    <s v="Paris"/>
    <s v="IDF"/>
    <n v="75009"/>
    <s v="France"/>
    <n v="15500"/>
    <n v="36"/>
    <n v="7.1"/>
    <d v="2022-10-03T00:00:00"/>
    <d v="2025-10-03T00:00:00"/>
    <s v="auto"/>
    <x v="0"/>
    <b v="0"/>
    <m/>
    <n v="4100"/>
    <n v="0"/>
    <n v="45413"/>
    <x v="0"/>
    <s v="Low Risk"/>
  </r>
  <r>
    <d v="1981-07-15T00:00:00"/>
    <s v="male"/>
    <s v="employed"/>
    <n v="51000"/>
    <n v="722"/>
    <s v="88 Nanjing Rd"/>
    <s v="Shanghai"/>
    <s v="SH"/>
    <n v="200003"/>
    <s v="China"/>
    <n v="92000"/>
    <n v="60"/>
    <n v="6.9"/>
    <d v="2022-11-20T00:00:00"/>
    <d v="2027-11-20T00:00:00"/>
    <s v="home"/>
    <x v="0"/>
    <b v="0"/>
    <m/>
    <n v="18450"/>
    <n v="0"/>
    <n v="45413"/>
    <x v="0"/>
    <s v="Low Risk"/>
  </r>
  <r>
    <d v="1972-05-30T00:00:00"/>
    <s v="female"/>
    <s v="self-employed"/>
    <n v="93000"/>
    <n v="683"/>
    <s v="Rua das Flores 210"/>
    <s v="Sao Paulo"/>
    <s v="SP"/>
    <s v="01303-000"/>
    <s v="Brazil"/>
    <n v="32000"/>
    <n v="36"/>
    <n v="10.8"/>
    <d v="2021-05-05T00:00:00"/>
    <d v="2024-05-05T00:00:00"/>
    <s v="business"/>
    <x v="1"/>
    <b v="0"/>
    <m/>
    <n v="39500"/>
    <n v="0"/>
    <n v="45417"/>
    <x v="0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C615E-FE48-4937-B327-2C8B9BE4ACC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payment Status">
  <location ref="A3:B6" firstHeaderRow="1" firstDataRow="1" firstDataCol="1"/>
  <pivotFields count="24">
    <pivotField numFmtId="14" showAll="0"/>
    <pivotField showAll="0"/>
    <pivotField showAll="0"/>
    <pivotField numFmtId="170" showAll="0"/>
    <pivotField numFmtId="49" showAll="0"/>
    <pivotField showAll="0"/>
    <pivotField showAll="0"/>
    <pivotField showAll="0"/>
    <pivotField showAll="0"/>
    <pivotField showAll="0"/>
    <pivotField numFmtId="1" showAll="0"/>
    <pivotField numFmtId="1" showAll="0"/>
    <pivotField numFmtId="2" showAll="0"/>
    <pivotField numFmtId="14" showAll="0"/>
    <pivotField numFmtId="14" showAll="0"/>
    <pivotField showAll="0"/>
    <pivotField showAll="0"/>
    <pivotField showAll="0"/>
    <pivotField showAll="0"/>
    <pivotField numFmtId="2" showAll="0"/>
    <pivotField numFmtId="2" showAll="0"/>
    <pivotField numFmtId="49"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Repayment Status" fld="2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189BA-BC92-411C-8DCC-AEE3DED8B4E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4">
    <pivotField numFmtId="14" showAll="0"/>
    <pivotField showAll="0"/>
    <pivotField showAll="0"/>
    <pivotField numFmtId="170" showAll="0"/>
    <pivotField numFmtId="49" showAll="0"/>
    <pivotField showAll="0"/>
    <pivotField showAll="0"/>
    <pivotField showAll="0"/>
    <pivotField showAll="0"/>
    <pivotField showAll="0"/>
    <pivotField numFmtId="1" showAll="0"/>
    <pivotField numFmtId="1" showAll="0"/>
    <pivotField numFmtId="2" showAll="0"/>
    <pivotField numFmtId="14"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numFmtId="49" showAll="0"/>
    <pivotField axis="axisCol" dataField="1" showAll="0">
      <items count="3">
        <item x="1"/>
        <item x="0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Repayment Status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A285-190D-44A6-AAC4-2A62D1F21700}">
  <dimension ref="A3:B6"/>
  <sheetViews>
    <sheetView tabSelected="1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26.28515625" bestFit="1" customWidth="1"/>
  </cols>
  <sheetData>
    <row r="3" spans="1:2" x14ac:dyDescent="0.25">
      <c r="A3" s="13" t="s">
        <v>127</v>
      </c>
      <c r="B3" t="s">
        <v>158</v>
      </c>
    </row>
    <row r="4" spans="1:2" x14ac:dyDescent="0.25">
      <c r="A4" s="14" t="s">
        <v>155</v>
      </c>
      <c r="B4" s="15">
        <v>3</v>
      </c>
    </row>
    <row r="5" spans="1:2" x14ac:dyDescent="0.25">
      <c r="A5" s="14" t="s">
        <v>156</v>
      </c>
      <c r="B5" s="15">
        <v>12</v>
      </c>
    </row>
    <row r="6" spans="1:2" x14ac:dyDescent="0.25">
      <c r="A6" s="14" t="s">
        <v>157</v>
      </c>
      <c r="B6" s="15">
        <v>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A706-90E1-485D-808E-CCC8FC5F8180}">
  <dimension ref="A3:D8"/>
  <sheetViews>
    <sheetView workbookViewId="0">
      <selection activeCell="A3" sqref="A3"/>
    </sheetView>
  </sheetViews>
  <sheetFormatPr defaultRowHeight="15" x14ac:dyDescent="0.25"/>
  <cols>
    <col min="1" max="1" width="26.28515625" bestFit="1" customWidth="1"/>
    <col min="2" max="2" width="16.85546875" bestFit="1" customWidth="1"/>
    <col min="3" max="3" width="11" bestFit="1" customWidth="1"/>
    <col min="4" max="4" width="11.28515625" bestFit="1" customWidth="1"/>
  </cols>
  <sheetData>
    <row r="3" spans="1:4" x14ac:dyDescent="0.25">
      <c r="A3" s="13" t="s">
        <v>158</v>
      </c>
      <c r="B3" s="13" t="s">
        <v>159</v>
      </c>
    </row>
    <row r="4" spans="1:4" x14ac:dyDescent="0.25">
      <c r="A4" s="13" t="s">
        <v>154</v>
      </c>
      <c r="B4" t="s">
        <v>155</v>
      </c>
      <c r="C4" t="s">
        <v>156</v>
      </c>
      <c r="D4" t="s">
        <v>157</v>
      </c>
    </row>
    <row r="5" spans="1:4" x14ac:dyDescent="0.25">
      <c r="A5" s="14" t="s">
        <v>17</v>
      </c>
      <c r="B5" s="15"/>
      <c r="C5" s="15">
        <v>9</v>
      </c>
      <c r="D5" s="15">
        <v>9</v>
      </c>
    </row>
    <row r="6" spans="1:4" x14ac:dyDescent="0.25">
      <c r="A6" s="14" t="s">
        <v>27</v>
      </c>
      <c r="B6" s="15"/>
      <c r="C6" s="15">
        <v>3</v>
      </c>
      <c r="D6" s="15">
        <v>3</v>
      </c>
    </row>
    <row r="7" spans="1:4" x14ac:dyDescent="0.25">
      <c r="A7" s="14" t="s">
        <v>36</v>
      </c>
      <c r="B7" s="15">
        <v>3</v>
      </c>
      <c r="C7" s="15"/>
      <c r="D7" s="15">
        <v>3</v>
      </c>
    </row>
    <row r="8" spans="1:4" x14ac:dyDescent="0.25">
      <c r="A8" s="14" t="s">
        <v>157</v>
      </c>
      <c r="B8" s="15">
        <v>3</v>
      </c>
      <c r="C8" s="15">
        <v>12</v>
      </c>
      <c r="D8" s="1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56E6-F04E-4A08-AC5C-83851FD19ACA}">
  <dimension ref="A1:AB20"/>
  <sheetViews>
    <sheetView topLeftCell="P1" workbookViewId="0">
      <selection activeCell="X6" sqref="X6"/>
    </sheetView>
  </sheetViews>
  <sheetFormatPr defaultRowHeight="15" x14ac:dyDescent="0.25"/>
  <cols>
    <col min="1" max="1" width="9.140625" style="7"/>
    <col min="2" max="2" width="11.7109375" style="7" bestFit="1" customWidth="1"/>
    <col min="3" max="3" width="19.85546875" style="7" bestFit="1" customWidth="1"/>
    <col min="4" max="4" width="19.85546875" style="5" hidden="1" customWidth="1"/>
    <col min="5" max="5" width="13.42578125" style="1" bestFit="1" customWidth="1"/>
    <col min="6" max="7" width="9.140625" style="5"/>
    <col min="8" max="8" width="14.5703125" style="12" bestFit="1" customWidth="1"/>
    <col min="9" max="10" width="9.140625" style="5"/>
    <col min="13" max="14" width="9.140625" style="5"/>
    <col min="15" max="15" width="10.5703125" style="10" bestFit="1" customWidth="1"/>
    <col min="16" max="16" width="9.140625" style="10"/>
    <col min="17" max="17" width="9.140625" style="7"/>
    <col min="18" max="18" width="15.42578125" style="1" bestFit="1" customWidth="1"/>
    <col min="19" max="19" width="18.140625" style="1" bestFit="1" customWidth="1"/>
    <col min="20" max="20" width="13.28515625" style="5" bestFit="1" customWidth="1"/>
    <col min="21" max="22" width="9.140625" style="5"/>
    <col min="24" max="24" width="9.5703125" style="7" bestFit="1" customWidth="1"/>
    <col min="25" max="25" width="32.7109375" style="7" bestFit="1" customWidth="1"/>
    <col min="26" max="26" width="22.7109375" style="5" bestFit="1" customWidth="1"/>
    <col min="27" max="27" width="16.7109375" bestFit="1" customWidth="1"/>
    <col min="28" max="28" width="9.140625" style="5"/>
    <col min="29" max="29" width="14.5703125" bestFit="1" customWidth="1"/>
  </cols>
  <sheetData>
    <row r="1" spans="1:28" s="2" customFormat="1" x14ac:dyDescent="0.25">
      <c r="A1" s="6" t="s">
        <v>138</v>
      </c>
      <c r="B1" s="6" t="s">
        <v>137</v>
      </c>
      <c r="C1" s="6" t="s">
        <v>136</v>
      </c>
      <c r="D1" s="4"/>
      <c r="E1" s="8" t="s">
        <v>139</v>
      </c>
      <c r="F1" s="4" t="s">
        <v>140</v>
      </c>
      <c r="G1" s="4" t="s">
        <v>141</v>
      </c>
      <c r="H1" s="11" t="s">
        <v>142</v>
      </c>
      <c r="I1" s="4" t="s">
        <v>143</v>
      </c>
      <c r="J1" s="4" t="s">
        <v>144</v>
      </c>
      <c r="K1" s="4" t="s">
        <v>0</v>
      </c>
      <c r="L1" s="4" t="s">
        <v>1</v>
      </c>
      <c r="M1" s="4" t="s">
        <v>2</v>
      </c>
      <c r="N1" s="4" t="s">
        <v>3</v>
      </c>
      <c r="O1" s="9" t="s">
        <v>4</v>
      </c>
      <c r="P1" s="9" t="s">
        <v>5</v>
      </c>
      <c r="Q1" s="6" t="s">
        <v>6</v>
      </c>
      <c r="R1" s="8" t="s">
        <v>153</v>
      </c>
      <c r="S1" s="8" t="s">
        <v>152</v>
      </c>
      <c r="T1" s="4" t="s">
        <v>151</v>
      </c>
      <c r="U1" s="4" t="s">
        <v>150</v>
      </c>
      <c r="V1" s="4" t="s">
        <v>149</v>
      </c>
      <c r="W1" s="2" t="s">
        <v>148</v>
      </c>
      <c r="X1" s="6" t="s">
        <v>147</v>
      </c>
      <c r="Y1" s="6" t="s">
        <v>146</v>
      </c>
      <c r="Z1" s="4" t="s">
        <v>145</v>
      </c>
      <c r="AA1" s="4" t="s">
        <v>127</v>
      </c>
      <c r="AB1" s="4" t="s">
        <v>128</v>
      </c>
    </row>
    <row r="2" spans="1:28" x14ac:dyDescent="0.25">
      <c r="A2" s="7" t="s">
        <v>7</v>
      </c>
      <c r="B2" s="7" t="s">
        <v>8</v>
      </c>
      <c r="C2" s="7" t="s">
        <v>9</v>
      </c>
      <c r="E2" s="1">
        <v>32024</v>
      </c>
      <c r="F2" s="5" t="s">
        <v>10</v>
      </c>
      <c r="G2" s="5" t="s">
        <v>11</v>
      </c>
      <c r="H2" s="12">
        <v>82000</v>
      </c>
      <c r="I2" s="5">
        <v>692</v>
      </c>
      <c r="J2" s="5" t="s">
        <v>12</v>
      </c>
      <c r="K2" t="s">
        <v>13</v>
      </c>
      <c r="L2" t="s">
        <v>14</v>
      </c>
      <c r="M2" s="5">
        <v>77002</v>
      </c>
      <c r="N2" s="5" t="s">
        <v>15</v>
      </c>
      <c r="O2" s="10">
        <v>260000</v>
      </c>
      <c r="P2" s="10">
        <v>180</v>
      </c>
      <c r="Q2" s="7">
        <v>4.9000000000000004</v>
      </c>
      <c r="R2" s="1">
        <v>44032</v>
      </c>
      <c r="S2" s="1">
        <v>49510</v>
      </c>
      <c r="T2" s="5" t="s">
        <v>16</v>
      </c>
      <c r="U2" s="5" t="s">
        <v>17</v>
      </c>
      <c r="V2" s="5" t="b">
        <v>0</v>
      </c>
      <c r="X2" s="7">
        <v>36000</v>
      </c>
      <c r="Y2" s="7">
        <v>0</v>
      </c>
      <c r="Z2" s="5">
        <v>45413</v>
      </c>
      <c r="AA2" t="str">
        <f>IF(U2="delinquent", "NP", "Performing")</f>
        <v>Performing</v>
      </c>
      <c r="AB2" s="5" t="str">
        <f>IF(OR(AA2="Non-Performing", Y2&gt;=1), "High Risk", "Low Risk")</f>
        <v>Low Risk</v>
      </c>
    </row>
    <row r="3" spans="1:28" x14ac:dyDescent="0.25">
      <c r="A3" s="7" t="s">
        <v>18</v>
      </c>
      <c r="B3" s="7" t="s">
        <v>19</v>
      </c>
      <c r="C3" s="7" t="s">
        <v>20</v>
      </c>
      <c r="E3" s="1">
        <v>34012</v>
      </c>
      <c r="F3" s="5" t="s">
        <v>21</v>
      </c>
      <c r="G3" s="5" t="s">
        <v>11</v>
      </c>
      <c r="H3" s="12">
        <v>54000</v>
      </c>
      <c r="I3" s="5">
        <v>776</v>
      </c>
      <c r="J3" s="5" t="s">
        <v>22</v>
      </c>
      <c r="K3" t="s">
        <v>23</v>
      </c>
      <c r="L3" t="s">
        <v>24</v>
      </c>
      <c r="M3" s="5">
        <v>400005</v>
      </c>
      <c r="N3" s="5" t="s">
        <v>25</v>
      </c>
      <c r="O3" s="10">
        <v>9500</v>
      </c>
      <c r="P3" s="10">
        <v>36</v>
      </c>
      <c r="Q3" s="7">
        <v>9.1999999999999993</v>
      </c>
      <c r="R3" s="1">
        <v>44270</v>
      </c>
      <c r="S3" s="1">
        <v>45366</v>
      </c>
      <c r="T3" s="5" t="s">
        <v>26</v>
      </c>
      <c r="U3" s="5" t="s">
        <v>27</v>
      </c>
      <c r="V3" s="5" t="b">
        <v>0</v>
      </c>
      <c r="X3" s="7">
        <v>11850</v>
      </c>
      <c r="Y3" s="7">
        <v>0</v>
      </c>
      <c r="Z3" s="5">
        <v>45366</v>
      </c>
      <c r="AA3" t="str">
        <f t="shared" ref="AA3:AA16" si="0">IF(U3="delinquent", "NP", "Performing")</f>
        <v>Performing</v>
      </c>
      <c r="AB3" s="5" t="str">
        <f t="shared" ref="AB3:AB15" si="1">IF(OR(AA3="Non-Performing", Y3&gt;=1), "High Risk", "Low Risk")</f>
        <v>Low Risk</v>
      </c>
    </row>
    <row r="4" spans="1:28" x14ac:dyDescent="0.25">
      <c r="A4" s="7" t="s">
        <v>28</v>
      </c>
      <c r="B4" s="7" t="s">
        <v>29</v>
      </c>
      <c r="C4" s="7" t="s">
        <v>30</v>
      </c>
      <c r="E4" s="1">
        <v>22609</v>
      </c>
      <c r="F4" s="5" t="s">
        <v>10</v>
      </c>
      <c r="G4" s="5" t="s">
        <v>31</v>
      </c>
      <c r="H4" s="12">
        <v>0</v>
      </c>
      <c r="I4" s="5">
        <v>441</v>
      </c>
      <c r="J4" s="5" t="s">
        <v>32</v>
      </c>
      <c r="K4" t="s">
        <v>33</v>
      </c>
      <c r="L4" t="s">
        <v>34</v>
      </c>
      <c r="M4" s="5">
        <v>97204</v>
      </c>
      <c r="N4" s="5" t="s">
        <v>15</v>
      </c>
      <c r="O4" s="10">
        <v>6500</v>
      </c>
      <c r="P4" s="10">
        <v>12</v>
      </c>
      <c r="Q4" s="7">
        <v>19.5</v>
      </c>
      <c r="R4" s="1">
        <v>44967</v>
      </c>
      <c r="S4" s="1">
        <v>45332</v>
      </c>
      <c r="T4" s="5" t="s">
        <v>35</v>
      </c>
      <c r="U4" s="5" t="s">
        <v>36</v>
      </c>
      <c r="V4" s="5" t="b">
        <v>0</v>
      </c>
      <c r="X4" s="7">
        <v>3200</v>
      </c>
      <c r="Y4" s="7">
        <v>2</v>
      </c>
      <c r="Z4" s="5">
        <v>45261</v>
      </c>
      <c r="AA4" t="str">
        <f t="shared" si="0"/>
        <v>NP</v>
      </c>
      <c r="AB4" s="5" t="str">
        <f t="shared" si="1"/>
        <v>High Risk</v>
      </c>
    </row>
    <row r="5" spans="1:28" x14ac:dyDescent="0.25">
      <c r="A5" s="7" t="s">
        <v>37</v>
      </c>
      <c r="B5" s="7" t="s">
        <v>38</v>
      </c>
      <c r="C5" s="7" t="s">
        <v>39</v>
      </c>
      <c r="E5" s="1">
        <v>30487</v>
      </c>
      <c r="F5" s="5" t="s">
        <v>21</v>
      </c>
      <c r="G5" s="5" t="s">
        <v>40</v>
      </c>
      <c r="H5" s="12">
        <v>124000</v>
      </c>
      <c r="I5" s="5">
        <v>734</v>
      </c>
      <c r="J5" s="5" t="s">
        <v>41</v>
      </c>
      <c r="K5" t="s">
        <v>42</v>
      </c>
      <c r="L5" t="s">
        <v>43</v>
      </c>
      <c r="M5" s="5" t="s">
        <v>44</v>
      </c>
      <c r="N5" s="5" t="s">
        <v>45</v>
      </c>
      <c r="O5" s="10">
        <v>35000</v>
      </c>
      <c r="P5" s="10">
        <v>60</v>
      </c>
      <c r="Q5" s="7">
        <v>7.3</v>
      </c>
      <c r="R5" s="1">
        <v>44805</v>
      </c>
      <c r="S5" s="1">
        <v>46631</v>
      </c>
      <c r="T5" s="5" t="s">
        <v>46</v>
      </c>
      <c r="U5" s="5" t="s">
        <v>17</v>
      </c>
      <c r="V5" s="5" t="b">
        <v>0</v>
      </c>
      <c r="X5" s="7">
        <v>9800</v>
      </c>
      <c r="Y5" s="7">
        <v>0</v>
      </c>
      <c r="Z5" s="5">
        <v>45413</v>
      </c>
      <c r="AA5" t="str">
        <f t="shared" si="0"/>
        <v>Performing</v>
      </c>
      <c r="AB5" s="5" t="str">
        <f t="shared" si="1"/>
        <v>Low Risk</v>
      </c>
    </row>
    <row r="6" spans="1:28" x14ac:dyDescent="0.25">
      <c r="A6" s="7" t="s">
        <v>47</v>
      </c>
      <c r="B6" s="7" t="s">
        <v>48</v>
      </c>
      <c r="C6" s="7" t="s">
        <v>49</v>
      </c>
      <c r="E6" s="1">
        <v>36512</v>
      </c>
      <c r="F6" s="5" t="s">
        <v>10</v>
      </c>
      <c r="G6" s="5" t="s">
        <v>50</v>
      </c>
      <c r="H6" s="12">
        <v>0</v>
      </c>
      <c r="I6" s="5">
        <v>315</v>
      </c>
      <c r="J6" s="5" t="s">
        <v>51</v>
      </c>
      <c r="K6" t="s">
        <v>52</v>
      </c>
      <c r="L6" t="s">
        <v>53</v>
      </c>
      <c r="M6" s="5">
        <v>110081</v>
      </c>
      <c r="N6" s="5" t="s">
        <v>25</v>
      </c>
      <c r="O6" s="10">
        <v>2300</v>
      </c>
      <c r="P6" s="10">
        <v>18</v>
      </c>
      <c r="Q6" s="7">
        <v>15.1</v>
      </c>
      <c r="R6" s="1">
        <v>44581</v>
      </c>
      <c r="S6" s="1">
        <v>45127</v>
      </c>
      <c r="T6" s="5" t="s">
        <v>54</v>
      </c>
      <c r="U6" s="5" t="s">
        <v>36</v>
      </c>
      <c r="V6" s="5" t="b">
        <v>0</v>
      </c>
      <c r="X6" s="7">
        <v>780</v>
      </c>
      <c r="Y6" s="7">
        <v>3</v>
      </c>
      <c r="Z6" s="5">
        <v>45036</v>
      </c>
      <c r="AA6" t="str">
        <f t="shared" si="0"/>
        <v>NP</v>
      </c>
      <c r="AB6" s="5" t="str">
        <f t="shared" si="1"/>
        <v>High Risk</v>
      </c>
    </row>
    <row r="7" spans="1:28" x14ac:dyDescent="0.25">
      <c r="A7" s="7" t="s">
        <v>55</v>
      </c>
      <c r="B7" s="7" t="s">
        <v>56</v>
      </c>
      <c r="C7" s="7" t="s">
        <v>57</v>
      </c>
      <c r="E7" s="1">
        <v>27093</v>
      </c>
      <c r="F7" s="5" t="s">
        <v>21</v>
      </c>
      <c r="G7" s="5" t="s">
        <v>11</v>
      </c>
      <c r="H7" s="12">
        <v>67000</v>
      </c>
      <c r="I7" s="5">
        <v>665</v>
      </c>
      <c r="J7" s="5" t="s">
        <v>58</v>
      </c>
      <c r="K7" t="s">
        <v>59</v>
      </c>
      <c r="L7" t="s">
        <v>60</v>
      </c>
      <c r="M7" s="5" t="s">
        <v>61</v>
      </c>
      <c r="N7" s="5" t="s">
        <v>62</v>
      </c>
      <c r="O7" s="10">
        <v>12000</v>
      </c>
      <c r="P7" s="10">
        <v>24</v>
      </c>
      <c r="Q7" s="7">
        <v>6.8</v>
      </c>
      <c r="R7" s="1">
        <v>45039</v>
      </c>
      <c r="S7" s="1">
        <v>45770</v>
      </c>
      <c r="T7" s="5" t="s">
        <v>35</v>
      </c>
      <c r="U7" s="5" t="s">
        <v>17</v>
      </c>
      <c r="V7" s="5" t="b">
        <v>0</v>
      </c>
      <c r="X7" s="7">
        <v>3400</v>
      </c>
      <c r="Y7" s="7">
        <v>0</v>
      </c>
      <c r="Z7" s="5">
        <v>45432</v>
      </c>
      <c r="AA7" t="str">
        <f t="shared" si="0"/>
        <v>Performing</v>
      </c>
      <c r="AB7" s="5" t="str">
        <f t="shared" si="1"/>
        <v>Low Risk</v>
      </c>
    </row>
    <row r="8" spans="1:28" x14ac:dyDescent="0.25">
      <c r="A8" s="7" t="s">
        <v>63</v>
      </c>
      <c r="B8" s="7" t="s">
        <v>64</v>
      </c>
      <c r="C8" s="7" t="s">
        <v>65</v>
      </c>
      <c r="E8" s="1">
        <v>29450</v>
      </c>
      <c r="F8" s="5" t="s">
        <v>10</v>
      </c>
      <c r="G8" s="5" t="s">
        <v>40</v>
      </c>
      <c r="H8" s="12">
        <v>148000</v>
      </c>
      <c r="I8" s="5">
        <v>701</v>
      </c>
      <c r="J8" s="5" t="s">
        <v>66</v>
      </c>
      <c r="K8" t="s">
        <v>67</v>
      </c>
      <c r="L8" t="s">
        <v>67</v>
      </c>
      <c r="M8" s="5">
        <v>11564</v>
      </c>
      <c r="N8" s="5" t="s">
        <v>68</v>
      </c>
      <c r="O8" s="10">
        <v>87000</v>
      </c>
      <c r="P8" s="10">
        <v>48</v>
      </c>
      <c r="Q8" s="7">
        <v>8.5</v>
      </c>
      <c r="R8" s="1">
        <v>44844</v>
      </c>
      <c r="S8" s="1">
        <v>46305</v>
      </c>
      <c r="T8" s="5" t="s">
        <v>46</v>
      </c>
      <c r="U8" s="5" t="s">
        <v>17</v>
      </c>
      <c r="V8" s="5" t="b">
        <v>0</v>
      </c>
      <c r="X8" s="7">
        <v>17700</v>
      </c>
      <c r="Y8" s="7">
        <v>0</v>
      </c>
      <c r="Z8" s="5">
        <v>45413</v>
      </c>
      <c r="AA8" t="str">
        <f t="shared" si="0"/>
        <v>Performing</v>
      </c>
      <c r="AB8" s="5" t="str">
        <f t="shared" si="1"/>
        <v>Low Risk</v>
      </c>
    </row>
    <row r="9" spans="1:28" x14ac:dyDescent="0.25">
      <c r="A9" s="7" t="s">
        <v>69</v>
      </c>
      <c r="B9" s="7" t="s">
        <v>70</v>
      </c>
      <c r="C9" s="7" t="s">
        <v>71</v>
      </c>
      <c r="E9" s="1">
        <v>19855</v>
      </c>
      <c r="F9" s="5" t="s">
        <v>21</v>
      </c>
      <c r="G9" s="5" t="s">
        <v>31</v>
      </c>
      <c r="H9" s="12">
        <v>12000</v>
      </c>
      <c r="I9" s="5">
        <v>362</v>
      </c>
      <c r="J9" s="5" t="s">
        <v>72</v>
      </c>
      <c r="K9" t="s">
        <v>73</v>
      </c>
      <c r="L9" t="s">
        <v>74</v>
      </c>
      <c r="M9" s="5">
        <v>44101</v>
      </c>
      <c r="N9" s="5" t="s">
        <v>15</v>
      </c>
      <c r="O9" s="10">
        <v>2200</v>
      </c>
      <c r="P9" s="10">
        <v>12</v>
      </c>
      <c r="Q9" s="7">
        <v>22.3</v>
      </c>
      <c r="R9" s="1">
        <v>45098</v>
      </c>
      <c r="S9" s="1">
        <v>45464</v>
      </c>
      <c r="T9" s="5" t="s">
        <v>26</v>
      </c>
      <c r="U9" s="5" t="s">
        <v>17</v>
      </c>
      <c r="V9" s="5" t="b">
        <v>0</v>
      </c>
      <c r="X9" s="7">
        <v>1200</v>
      </c>
      <c r="Y9" s="7">
        <v>1</v>
      </c>
      <c r="Z9" s="5">
        <v>45366</v>
      </c>
      <c r="AA9" t="str">
        <f t="shared" si="0"/>
        <v>Performing</v>
      </c>
      <c r="AB9" s="5" t="str">
        <f t="shared" si="1"/>
        <v>High Risk</v>
      </c>
    </row>
    <row r="10" spans="1:28" x14ac:dyDescent="0.25">
      <c r="A10" s="7" t="s">
        <v>75</v>
      </c>
      <c r="B10" s="7" t="s">
        <v>76</v>
      </c>
      <c r="C10" s="7" t="s">
        <v>77</v>
      </c>
      <c r="E10" s="1">
        <v>35705</v>
      </c>
      <c r="F10" s="5" t="s">
        <v>21</v>
      </c>
      <c r="G10" s="5" t="s">
        <v>50</v>
      </c>
      <c r="H10" s="12">
        <v>0</v>
      </c>
      <c r="I10" s="5">
        <v>326</v>
      </c>
      <c r="J10" s="5" t="s">
        <v>78</v>
      </c>
      <c r="K10" t="s">
        <v>79</v>
      </c>
      <c r="L10" t="s">
        <v>80</v>
      </c>
      <c r="M10" s="5" t="s">
        <v>81</v>
      </c>
      <c r="N10" s="5" t="s">
        <v>82</v>
      </c>
      <c r="O10" s="10">
        <v>1800</v>
      </c>
      <c r="P10" s="10">
        <v>18</v>
      </c>
      <c r="Q10" s="7">
        <v>18.899999999999999</v>
      </c>
      <c r="R10" s="1">
        <v>44816</v>
      </c>
      <c r="S10" s="1">
        <v>45363</v>
      </c>
      <c r="T10" s="5" t="s">
        <v>54</v>
      </c>
      <c r="U10" s="5" t="s">
        <v>17</v>
      </c>
      <c r="V10" s="5" t="b">
        <v>0</v>
      </c>
      <c r="X10" s="7">
        <v>920</v>
      </c>
      <c r="Y10" s="7">
        <v>1</v>
      </c>
      <c r="Z10" s="5">
        <v>45383</v>
      </c>
      <c r="AA10" t="str">
        <f t="shared" si="0"/>
        <v>Performing</v>
      </c>
      <c r="AB10" s="5" t="str">
        <f t="shared" si="1"/>
        <v>High Risk</v>
      </c>
    </row>
    <row r="11" spans="1:28" x14ac:dyDescent="0.25">
      <c r="A11" s="7" t="s">
        <v>83</v>
      </c>
      <c r="B11" s="7" t="s">
        <v>84</v>
      </c>
      <c r="C11" s="7" t="s">
        <v>85</v>
      </c>
      <c r="E11" s="1">
        <v>29000</v>
      </c>
      <c r="F11" s="5" t="s">
        <v>10</v>
      </c>
      <c r="G11" s="5" t="s">
        <v>11</v>
      </c>
      <c r="H11" s="12">
        <v>93000</v>
      </c>
      <c r="I11" s="5">
        <v>812</v>
      </c>
      <c r="J11" s="5" t="s">
        <v>86</v>
      </c>
      <c r="K11" t="s">
        <v>87</v>
      </c>
      <c r="L11" t="s">
        <v>88</v>
      </c>
      <c r="M11" s="5" t="s">
        <v>89</v>
      </c>
      <c r="N11" s="5" t="s">
        <v>90</v>
      </c>
      <c r="O11" s="10">
        <v>245000</v>
      </c>
      <c r="P11" s="10">
        <v>240</v>
      </c>
      <c r="Q11" s="7">
        <v>3.2</v>
      </c>
      <c r="R11" s="1">
        <v>44361</v>
      </c>
      <c r="S11" s="1">
        <v>51666</v>
      </c>
      <c r="T11" s="5" t="s">
        <v>16</v>
      </c>
      <c r="U11" s="5" t="s">
        <v>17</v>
      </c>
      <c r="V11" s="5" t="b">
        <v>0</v>
      </c>
      <c r="X11" s="7">
        <v>41000</v>
      </c>
      <c r="Y11" s="7">
        <v>0</v>
      </c>
      <c r="Z11" s="5">
        <v>45413</v>
      </c>
      <c r="AA11" t="str">
        <f t="shared" si="0"/>
        <v>Performing</v>
      </c>
      <c r="AB11" s="5" t="str">
        <f t="shared" si="1"/>
        <v>Low Risk</v>
      </c>
    </row>
    <row r="12" spans="1:28" x14ac:dyDescent="0.25">
      <c r="A12" s="7" t="s">
        <v>91</v>
      </c>
      <c r="B12" s="7" t="s">
        <v>92</v>
      </c>
      <c r="C12" s="7" t="s">
        <v>93</v>
      </c>
      <c r="E12" s="1">
        <v>31122</v>
      </c>
      <c r="F12" s="5" t="s">
        <v>21</v>
      </c>
      <c r="G12" s="5" t="s">
        <v>40</v>
      </c>
      <c r="H12" s="12">
        <v>210000</v>
      </c>
      <c r="I12" s="5">
        <v>673</v>
      </c>
      <c r="J12" s="5" t="s">
        <v>94</v>
      </c>
      <c r="K12" t="s">
        <v>95</v>
      </c>
      <c r="L12" t="s">
        <v>96</v>
      </c>
      <c r="M12" s="5">
        <v>125009</v>
      </c>
      <c r="N12" s="5" t="s">
        <v>97</v>
      </c>
      <c r="O12" s="10">
        <v>120000</v>
      </c>
      <c r="P12" s="10">
        <v>48</v>
      </c>
      <c r="Q12" s="7">
        <v>11.2</v>
      </c>
      <c r="R12" s="1">
        <v>43849</v>
      </c>
      <c r="S12" s="1">
        <v>45310</v>
      </c>
      <c r="T12" s="5" t="s">
        <v>46</v>
      </c>
      <c r="U12" s="5" t="s">
        <v>27</v>
      </c>
      <c r="V12" s="5" t="b">
        <v>0</v>
      </c>
      <c r="X12" s="7">
        <v>137500</v>
      </c>
      <c r="Y12" s="7">
        <v>0</v>
      </c>
      <c r="Z12" s="5">
        <v>45310</v>
      </c>
      <c r="AA12" t="str">
        <f t="shared" si="0"/>
        <v>Performing</v>
      </c>
      <c r="AB12" s="5" t="str">
        <f t="shared" si="1"/>
        <v>Low Risk</v>
      </c>
    </row>
    <row r="13" spans="1:28" x14ac:dyDescent="0.25">
      <c r="A13" s="7" t="s">
        <v>98</v>
      </c>
      <c r="B13" s="7" t="s">
        <v>99</v>
      </c>
      <c r="C13" s="7" t="s">
        <v>100</v>
      </c>
      <c r="E13" s="1">
        <v>24896</v>
      </c>
      <c r="F13" s="5" t="s">
        <v>10</v>
      </c>
      <c r="G13" s="5" t="s">
        <v>31</v>
      </c>
      <c r="H13" s="12">
        <v>8000</v>
      </c>
      <c r="I13" s="5">
        <v>388</v>
      </c>
      <c r="J13" s="5" t="s">
        <v>101</v>
      </c>
      <c r="K13" t="s">
        <v>102</v>
      </c>
      <c r="L13" t="s">
        <v>103</v>
      </c>
      <c r="M13" s="5">
        <v>6760</v>
      </c>
      <c r="N13" s="5" t="s">
        <v>104</v>
      </c>
      <c r="O13" s="10">
        <v>3500</v>
      </c>
      <c r="P13" s="10">
        <v>6</v>
      </c>
      <c r="Q13" s="7">
        <v>28.7</v>
      </c>
      <c r="R13" s="1">
        <v>45210</v>
      </c>
      <c r="S13" s="1">
        <v>45393</v>
      </c>
      <c r="T13" s="5" t="s">
        <v>26</v>
      </c>
      <c r="U13" s="5" t="s">
        <v>36</v>
      </c>
      <c r="V13" s="5" t="b">
        <v>0</v>
      </c>
      <c r="X13" s="7">
        <v>500</v>
      </c>
      <c r="Y13" s="7">
        <v>2</v>
      </c>
      <c r="Z13" s="5">
        <v>45337</v>
      </c>
      <c r="AA13" t="str">
        <f t="shared" si="0"/>
        <v>NP</v>
      </c>
      <c r="AB13" s="5" t="str">
        <f t="shared" si="1"/>
        <v>High Risk</v>
      </c>
    </row>
    <row r="14" spans="1:28" x14ac:dyDescent="0.25">
      <c r="A14" s="7" t="s">
        <v>105</v>
      </c>
      <c r="B14" s="7" t="s">
        <v>106</v>
      </c>
      <c r="C14" s="7" t="s">
        <v>107</v>
      </c>
      <c r="E14" s="1">
        <v>32941</v>
      </c>
      <c r="F14" s="5" t="s">
        <v>21</v>
      </c>
      <c r="G14" s="5" t="s">
        <v>11</v>
      </c>
      <c r="H14" s="12">
        <v>54000</v>
      </c>
      <c r="I14" s="5">
        <v>657</v>
      </c>
      <c r="J14" s="5" t="s">
        <v>108</v>
      </c>
      <c r="K14" t="s">
        <v>109</v>
      </c>
      <c r="L14" t="s">
        <v>110</v>
      </c>
      <c r="M14" s="5">
        <v>75009</v>
      </c>
      <c r="N14" s="5" t="s">
        <v>111</v>
      </c>
      <c r="O14" s="10">
        <v>15500</v>
      </c>
      <c r="P14" s="10">
        <v>36</v>
      </c>
      <c r="Q14" s="7">
        <v>7.1</v>
      </c>
      <c r="R14" s="1">
        <v>44837</v>
      </c>
      <c r="S14" s="1">
        <v>45933</v>
      </c>
      <c r="T14" s="5" t="s">
        <v>35</v>
      </c>
      <c r="U14" s="5" t="s">
        <v>17</v>
      </c>
      <c r="V14" s="5" t="b">
        <v>0</v>
      </c>
      <c r="X14" s="7">
        <v>4100</v>
      </c>
      <c r="Y14" s="7">
        <v>0</v>
      </c>
      <c r="Z14" s="5">
        <v>45413</v>
      </c>
      <c r="AA14" t="str">
        <f t="shared" si="0"/>
        <v>Performing</v>
      </c>
      <c r="AB14" s="5" t="str">
        <f t="shared" si="1"/>
        <v>Low Risk</v>
      </c>
    </row>
    <row r="15" spans="1:28" x14ac:dyDescent="0.25">
      <c r="A15" s="7" t="s">
        <v>112</v>
      </c>
      <c r="B15" s="7" t="s">
        <v>113</v>
      </c>
      <c r="C15" s="7" t="s">
        <v>114</v>
      </c>
      <c r="E15" s="1">
        <v>29782</v>
      </c>
      <c r="F15" s="5" t="s">
        <v>10</v>
      </c>
      <c r="G15" s="5" t="s">
        <v>11</v>
      </c>
      <c r="H15" s="12">
        <v>51000</v>
      </c>
      <c r="I15" s="5">
        <v>722</v>
      </c>
      <c r="J15" s="5" t="s">
        <v>115</v>
      </c>
      <c r="K15" t="s">
        <v>116</v>
      </c>
      <c r="L15" t="s">
        <v>117</v>
      </c>
      <c r="M15" s="5">
        <v>200003</v>
      </c>
      <c r="N15" s="5" t="s">
        <v>118</v>
      </c>
      <c r="O15" s="10">
        <v>92000</v>
      </c>
      <c r="P15" s="10">
        <v>60</v>
      </c>
      <c r="Q15" s="7">
        <v>6.9</v>
      </c>
      <c r="R15" s="1">
        <v>44885</v>
      </c>
      <c r="S15" s="1">
        <v>46711</v>
      </c>
      <c r="T15" s="5" t="s">
        <v>16</v>
      </c>
      <c r="U15" s="5" t="s">
        <v>17</v>
      </c>
      <c r="V15" s="5" t="b">
        <v>0</v>
      </c>
      <c r="X15" s="7">
        <v>18450</v>
      </c>
      <c r="Y15" s="7">
        <v>0</v>
      </c>
      <c r="Z15" s="5">
        <v>45413</v>
      </c>
      <c r="AA15" t="str">
        <f t="shared" si="0"/>
        <v>Performing</v>
      </c>
      <c r="AB15" s="5" t="str">
        <f t="shared" si="1"/>
        <v>Low Risk</v>
      </c>
    </row>
    <row r="16" spans="1:28" x14ac:dyDescent="0.25">
      <c r="A16" s="7" t="s">
        <v>119</v>
      </c>
      <c r="B16" s="7" t="s">
        <v>120</v>
      </c>
      <c r="C16" s="7" t="s">
        <v>121</v>
      </c>
      <c r="E16" s="1">
        <v>26449</v>
      </c>
      <c r="F16" s="5" t="s">
        <v>21</v>
      </c>
      <c r="G16" s="5" t="s">
        <v>40</v>
      </c>
      <c r="H16" s="12">
        <v>93000</v>
      </c>
      <c r="I16" s="5">
        <v>683</v>
      </c>
      <c r="J16" s="5" t="s">
        <v>122</v>
      </c>
      <c r="K16" t="s">
        <v>123</v>
      </c>
      <c r="L16" t="s">
        <v>124</v>
      </c>
      <c r="M16" s="5" t="s">
        <v>125</v>
      </c>
      <c r="N16" s="5" t="s">
        <v>126</v>
      </c>
      <c r="O16" s="10">
        <v>32000</v>
      </c>
      <c r="P16" s="10">
        <v>36</v>
      </c>
      <c r="Q16" s="7">
        <v>10.8</v>
      </c>
      <c r="R16" s="1">
        <v>44321</v>
      </c>
      <c r="S16" s="1">
        <v>45417</v>
      </c>
      <c r="T16" s="5" t="s">
        <v>46</v>
      </c>
      <c r="U16" s="5" t="s">
        <v>27</v>
      </c>
      <c r="V16" s="5" t="b">
        <v>0</v>
      </c>
      <c r="X16" s="7">
        <v>39500</v>
      </c>
      <c r="Y16" s="7">
        <v>0</v>
      </c>
      <c r="Z16" s="5">
        <v>45417</v>
      </c>
      <c r="AA16" t="str">
        <f t="shared" si="0"/>
        <v>Performing</v>
      </c>
      <c r="AB16" s="5" t="str">
        <f>IF(OR(AA16="Non-Performing", Y16&gt;=1), "High Risk", "Low Risk")</f>
        <v>Low Risk</v>
      </c>
    </row>
    <row r="18" spans="1:27" x14ac:dyDescent="0.25">
      <c r="A18" s="7">
        <f>COUNTA(A2:A16)</f>
        <v>15</v>
      </c>
    </row>
    <row r="19" spans="1:27" x14ac:dyDescent="0.25">
      <c r="Z19" s="5" t="s">
        <v>129</v>
      </c>
      <c r="AA19">
        <f>COUNTIF(AA2:AA16, "NP")</f>
        <v>3</v>
      </c>
    </row>
    <row r="20" spans="1:27" x14ac:dyDescent="0.25">
      <c r="Z20" s="5" t="s">
        <v>130</v>
      </c>
      <c r="AA20" s="3">
        <f>AA19/A18</f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4D6B-3F00-47EA-908E-8F7276B99158}">
  <dimension ref="B1:K5"/>
  <sheetViews>
    <sheetView workbookViewId="0">
      <selection activeCell="K5" sqref="K5"/>
    </sheetView>
  </sheetViews>
  <sheetFormatPr defaultRowHeight="15" x14ac:dyDescent="0.25"/>
  <sheetData>
    <row r="1" spans="2:11" x14ac:dyDescent="0.25">
      <c r="B1" t="s">
        <v>131</v>
      </c>
      <c r="D1" t="s">
        <v>132</v>
      </c>
      <c r="G1" t="s">
        <v>133</v>
      </c>
      <c r="J1" t="s">
        <v>134</v>
      </c>
    </row>
    <row r="2" spans="2:11" x14ac:dyDescent="0.25">
      <c r="B2">
        <v>15</v>
      </c>
      <c r="D2">
        <f>COUNTIF('loan-default-prediction-dataset'!AA2:AA16, "Performing")</f>
        <v>12</v>
      </c>
      <c r="G2">
        <f>COUNTIF('loan-default-prediction-dataset'!AA2:AA16, "NP")</f>
        <v>3</v>
      </c>
      <c r="J2">
        <f>COUNTIF('loan-default-prediction-dataset'!U2:U16, "delinquent")</f>
        <v>3</v>
      </c>
    </row>
    <row r="4" spans="2:11" x14ac:dyDescent="0.25">
      <c r="J4" t="s">
        <v>135</v>
      </c>
    </row>
    <row r="5" spans="2:11" x14ac:dyDescent="0.25">
      <c r="K5" s="3">
        <f>J2/B2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loan-default-prediction-dataset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Wanjiku Kamau</cp:lastModifiedBy>
  <dcterms:created xsi:type="dcterms:W3CDTF">2026-01-26T19:39:30Z</dcterms:created>
  <dcterms:modified xsi:type="dcterms:W3CDTF">2026-02-23T04:19:59Z</dcterms:modified>
</cp:coreProperties>
</file>